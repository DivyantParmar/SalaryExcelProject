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9084" windowHeight="6108" activeTab="2"/>
  </bookViews>
  <sheets>
    <sheet name="Employee Details" sheetId="2" r:id="rId1"/>
    <sheet name="Months Attedent" sheetId="3" r:id="rId2"/>
    <sheet name="Salary Sheet" sheetId="4" r:id="rId3"/>
    <sheet name="Sheet5" sheetId="5" r:id="rId4"/>
    <sheet name="Monthly Salary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1" l="1"/>
  <c r="N11" i="1" l="1"/>
  <c r="L11" i="1"/>
  <c r="K8" i="1"/>
  <c r="Q8" i="1" s="1"/>
  <c r="F10" i="1"/>
  <c r="E10" i="1"/>
  <c r="E8" i="1" l="1"/>
  <c r="E9" i="1"/>
</calcChain>
</file>

<file path=xl/sharedStrings.xml><?xml version="1.0" encoding="utf-8"?>
<sst xmlns="http://schemas.openxmlformats.org/spreadsheetml/2006/main" count="90" uniqueCount="50">
  <si>
    <t>Divyant</t>
  </si>
  <si>
    <t>Days</t>
  </si>
  <si>
    <t>Leaves</t>
  </si>
  <si>
    <t>P</t>
  </si>
  <si>
    <t>Total Present days</t>
  </si>
  <si>
    <t>A</t>
  </si>
  <si>
    <t>Total Absent days</t>
  </si>
  <si>
    <t>Total  days</t>
  </si>
  <si>
    <t>Total Salary</t>
  </si>
  <si>
    <t>Deduct Salary</t>
  </si>
  <si>
    <t>Total  Hours</t>
  </si>
  <si>
    <t xml:space="preserve"> Hours</t>
  </si>
  <si>
    <t xml:space="preserve">Dev </t>
  </si>
  <si>
    <t>Parmar</t>
  </si>
  <si>
    <t>devparmar@gmail.com</t>
  </si>
  <si>
    <t>Shivam</t>
  </si>
  <si>
    <t>Rao</t>
  </si>
  <si>
    <t>shivamrao@gmail.com</t>
  </si>
  <si>
    <t>Durgesh</t>
  </si>
  <si>
    <t>Patel</t>
  </si>
  <si>
    <t>durgeshpatel@gmail.com</t>
  </si>
  <si>
    <t>Sumeet</t>
  </si>
  <si>
    <t>Rai</t>
  </si>
  <si>
    <t>sumeetrai@gmail.com</t>
  </si>
  <si>
    <t>Hardik</t>
  </si>
  <si>
    <t>Nai</t>
  </si>
  <si>
    <t>hardiknai@gmail.com</t>
  </si>
  <si>
    <t>Jay</t>
  </si>
  <si>
    <t>Solanki</t>
  </si>
  <si>
    <t>jaysolanki@gmail.com</t>
  </si>
  <si>
    <t>Will</t>
  </si>
  <si>
    <t>Smith</t>
  </si>
  <si>
    <t>willsmith@gmail.com</t>
  </si>
  <si>
    <t>Neha</t>
  </si>
  <si>
    <t>Kakkar</t>
  </si>
  <si>
    <t>nehakakkar@gmail.com</t>
  </si>
  <si>
    <t xml:space="preserve">Disha </t>
  </si>
  <si>
    <t>Kohar</t>
  </si>
  <si>
    <t>dishakohar@gmail.com</t>
  </si>
  <si>
    <t>Rakesh</t>
  </si>
  <si>
    <t>rakeshparmar@gmail.com</t>
  </si>
  <si>
    <t>Sr No.</t>
  </si>
  <si>
    <t>FirstName</t>
  </si>
  <si>
    <t>LastName</t>
  </si>
  <si>
    <t>EmailId</t>
  </si>
  <si>
    <t>Mo.No</t>
  </si>
  <si>
    <t>Sr No</t>
  </si>
  <si>
    <t>Months</t>
  </si>
  <si>
    <t>esic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</si>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</sst>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16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24" sqref="D24"/>
    </sheetView>
  </sheetViews>
  <sheetFormatPr defaultRowHeight="14.4" x14ac:dyDescent="0.3"/>
  <cols>
    <col min="2" max="2" width="15.33203125" customWidth="1"/>
    <col min="3" max="3" width="13.109375" customWidth="1"/>
    <col min="4" max="4" width="22.77734375" bestFit="1" customWidth="1"/>
    <col min="5" max="5" width="11" bestFit="1" customWidth="1"/>
  </cols>
  <sheetData>
    <row r="1" spans="1:5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3">
      <c r="A2" s="15">
        <v>1</v>
      </c>
      <c r="B2" s="16" t="s">
        <v>12</v>
      </c>
      <c r="C2" s="15" t="s">
        <v>13</v>
      </c>
      <c r="D2" s="15" t="s">
        <v>14</v>
      </c>
      <c r="E2" s="15">
        <v>9715002522</v>
      </c>
    </row>
    <row r="3" spans="1:5" x14ac:dyDescent="0.3">
      <c r="A3" s="15">
        <v>2</v>
      </c>
      <c r="B3" s="16" t="s">
        <v>15</v>
      </c>
      <c r="C3" s="15" t="s">
        <v>16</v>
      </c>
      <c r="D3" s="15" t="s">
        <v>17</v>
      </c>
      <c r="E3" s="15">
        <v>9715102525</v>
      </c>
    </row>
    <row r="4" spans="1:5" x14ac:dyDescent="0.3">
      <c r="A4" s="15">
        <v>3</v>
      </c>
      <c r="B4" s="16" t="s">
        <v>18</v>
      </c>
      <c r="C4" s="15" t="s">
        <v>19</v>
      </c>
      <c r="D4" s="15" t="s">
        <v>20</v>
      </c>
      <c r="E4" s="15">
        <v>9715202528</v>
      </c>
    </row>
    <row r="5" spans="1:5" x14ac:dyDescent="0.3">
      <c r="A5" s="15">
        <v>4</v>
      </c>
      <c r="B5" s="16" t="s">
        <v>21</v>
      </c>
      <c r="C5" s="15" t="s">
        <v>22</v>
      </c>
      <c r="D5" s="15" t="s">
        <v>23</v>
      </c>
      <c r="E5" s="15">
        <v>9815302531</v>
      </c>
    </row>
    <row r="6" spans="1:5" x14ac:dyDescent="0.3">
      <c r="A6" s="15">
        <v>5</v>
      </c>
      <c r="B6" s="16" t="s">
        <v>24</v>
      </c>
      <c r="C6" s="15" t="s">
        <v>25</v>
      </c>
      <c r="D6" s="15" t="s">
        <v>26</v>
      </c>
      <c r="E6" s="15">
        <v>9815402534</v>
      </c>
    </row>
    <row r="7" spans="1:5" x14ac:dyDescent="0.3">
      <c r="A7" s="15">
        <v>6</v>
      </c>
      <c r="B7" s="16" t="s">
        <v>27</v>
      </c>
      <c r="C7" s="15" t="s">
        <v>28</v>
      </c>
      <c r="D7" s="15" t="s">
        <v>29</v>
      </c>
      <c r="E7" s="15">
        <v>9815502537</v>
      </c>
    </row>
    <row r="8" spans="1:5" x14ac:dyDescent="0.3">
      <c r="A8" s="15">
        <v>7</v>
      </c>
      <c r="B8" s="16" t="s">
        <v>30</v>
      </c>
      <c r="C8" s="15" t="s">
        <v>31</v>
      </c>
      <c r="D8" s="15" t="s">
        <v>32</v>
      </c>
      <c r="E8" s="15">
        <v>9815602540</v>
      </c>
    </row>
    <row r="9" spans="1:5" x14ac:dyDescent="0.3">
      <c r="A9" s="15">
        <v>8</v>
      </c>
      <c r="B9" s="16" t="s">
        <v>33</v>
      </c>
      <c r="C9" s="15" t="s">
        <v>34</v>
      </c>
      <c r="D9" s="15" t="s">
        <v>35</v>
      </c>
      <c r="E9" s="15">
        <v>9815702543</v>
      </c>
    </row>
    <row r="10" spans="1:5" x14ac:dyDescent="0.3">
      <c r="A10" s="15">
        <v>9</v>
      </c>
      <c r="B10" s="16" t="s">
        <v>36</v>
      </c>
      <c r="C10" s="15" t="s">
        <v>37</v>
      </c>
      <c r="D10" s="15" t="s">
        <v>38</v>
      </c>
      <c r="E10" s="15">
        <v>9815802546</v>
      </c>
    </row>
    <row r="11" spans="1:5" x14ac:dyDescent="0.3">
      <c r="A11" s="15">
        <v>10</v>
      </c>
      <c r="B11" s="16" t="s">
        <v>39</v>
      </c>
      <c r="C11" s="15" t="s">
        <v>13</v>
      </c>
      <c r="D11" s="15" t="s">
        <v>40</v>
      </c>
      <c r="E11" s="15">
        <v>9815902549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" sqref="D2"/>
    </sheetView>
  </sheetViews>
  <sheetFormatPr defaultRowHeight="14.4" x14ac:dyDescent="0.3"/>
  <cols>
    <col min="2" max="2" width="9.33203125" bestFit="1" customWidth="1"/>
  </cols>
  <sheetData>
    <row r="1" spans="1:4" x14ac:dyDescent="0.3">
      <c r="A1" t="s">
        <v>46</v>
      </c>
      <c r="B1" t="s">
        <v>42</v>
      </c>
      <c r="C1" t="s">
        <v>47</v>
      </c>
    </row>
    <row r="2" spans="1:4" x14ac:dyDescent="0.3">
      <c r="A2" s="15">
        <v>1</v>
      </c>
      <c r="B2" s="16" t="s">
        <v>12</v>
      </c>
      <c r="D2" s="17"/>
    </row>
    <row r="3" spans="1:4" x14ac:dyDescent="0.3">
      <c r="A3" s="15">
        <v>2</v>
      </c>
      <c r="B3" s="16" t="s">
        <v>15</v>
      </c>
    </row>
    <row r="4" spans="1:4" x14ac:dyDescent="0.3">
      <c r="A4" s="15">
        <v>3</v>
      </c>
      <c r="B4" s="16" t="s">
        <v>18</v>
      </c>
    </row>
    <row r="5" spans="1:4" x14ac:dyDescent="0.3">
      <c r="A5" s="15">
        <v>4</v>
      </c>
      <c r="B5" s="16" t="s">
        <v>21</v>
      </c>
    </row>
    <row r="6" spans="1:4" x14ac:dyDescent="0.3">
      <c r="A6" s="15">
        <v>5</v>
      </c>
      <c r="B6" s="16" t="s">
        <v>24</v>
      </c>
    </row>
    <row r="7" spans="1:4" x14ac:dyDescent="0.3">
      <c r="A7" s="15">
        <v>6</v>
      </c>
      <c r="B7" s="16" t="s">
        <v>27</v>
      </c>
    </row>
    <row r="8" spans="1:4" x14ac:dyDescent="0.3">
      <c r="A8" s="15">
        <v>7</v>
      </c>
      <c r="B8" s="16" t="s">
        <v>30</v>
      </c>
    </row>
    <row r="9" spans="1:4" x14ac:dyDescent="0.3">
      <c r="A9" s="15">
        <v>8</v>
      </c>
      <c r="B9" s="16" t="s">
        <v>33</v>
      </c>
    </row>
    <row r="10" spans="1:4" x14ac:dyDescent="0.3">
      <c r="A10" s="15">
        <v>9</v>
      </c>
      <c r="B10" s="16" t="s">
        <v>36</v>
      </c>
    </row>
    <row r="11" spans="1:4" x14ac:dyDescent="0.3">
      <c r="A11" s="15">
        <v>10</v>
      </c>
      <c r="B11" s="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7" sqref="G2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workbookViewId="0">
      <selection activeCell="L15" sqref="L15"/>
    </sheetView>
  </sheetViews>
  <sheetFormatPr defaultColWidth="6.21875" defaultRowHeight="14.4" x14ac:dyDescent="0.3"/>
  <cols>
    <col min="1" max="1" width="14" customWidth="1"/>
    <col min="5" max="5" width="8" bestFit="1" customWidth="1"/>
    <col min="11" max="11" width="7.5546875" bestFit="1" customWidth="1"/>
    <col min="16" max="16" width="6.5546875" bestFit="1" customWidth="1"/>
    <col min="17" max="17" width="5.88671875" customWidth="1"/>
  </cols>
  <sheetData>
    <row r="1" spans="1:31" ht="15.6" x14ac:dyDescent="0.3">
      <c r="A1" s="2" t="s">
        <v>0</v>
      </c>
    </row>
    <row r="3" spans="1:31" s="1" customFormat="1" x14ac:dyDescent="0.3">
      <c r="A3" s="1" t="s">
        <v>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</row>
    <row r="4" spans="1:31" s="4" customFormat="1" x14ac:dyDescent="0.3"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</row>
    <row r="5" spans="1:31" x14ac:dyDescent="0.3">
      <c r="A5" s="1" t="s">
        <v>11</v>
      </c>
      <c r="G5">
        <v>4</v>
      </c>
      <c r="K5">
        <v>4</v>
      </c>
      <c r="S5">
        <v>3</v>
      </c>
      <c r="X5">
        <v>7</v>
      </c>
    </row>
    <row r="6" spans="1:31" s="3" customFormat="1" x14ac:dyDescent="0.3">
      <c r="A6" s="1" t="s">
        <v>2</v>
      </c>
      <c r="AD6" s="3" t="s">
        <v>5</v>
      </c>
      <c r="AE6" s="3" t="s">
        <v>5</v>
      </c>
    </row>
    <row r="7" spans="1:31" ht="15" thickBot="1" x14ac:dyDescent="0.35"/>
    <row r="8" spans="1:31" s="1" customFormat="1" ht="28.2" customHeight="1" thickBot="1" x14ac:dyDescent="0.35">
      <c r="B8" s="9" t="s">
        <v>7</v>
      </c>
      <c r="C8" s="10"/>
      <c r="D8" s="14"/>
      <c r="E8" s="1">
        <f>COUNTA($B$3:$AE$3)</f>
        <v>30</v>
      </c>
      <c r="H8" s="9" t="s">
        <v>4</v>
      </c>
      <c r="I8" s="10"/>
      <c r="J8" s="14"/>
      <c r="K8" s="8">
        <f>$E$8-$E$9-$F$10</f>
        <v>25.75</v>
      </c>
      <c r="N8" s="9" t="s">
        <v>9</v>
      </c>
      <c r="O8" s="10"/>
      <c r="P8" s="10"/>
      <c r="Q8" s="11">
        <f>($K$9*$K$8)/$E$8</f>
        <v>10729.166666666666</v>
      </c>
      <c r="R8" s="12"/>
      <c r="S8" s="13"/>
    </row>
    <row r="9" spans="1:31" s="1" customFormat="1" ht="24" customHeight="1" x14ac:dyDescent="0.3">
      <c r="B9" s="9" t="s">
        <v>6</v>
      </c>
      <c r="C9" s="10"/>
      <c r="D9" s="14"/>
      <c r="E9" s="1">
        <f>COUNTA($B$6:$AE$6)</f>
        <v>2</v>
      </c>
      <c r="H9" s="9" t="s">
        <v>8</v>
      </c>
      <c r="I9" s="10"/>
      <c r="J9" s="14"/>
      <c r="K9" s="1">
        <v>12500</v>
      </c>
    </row>
    <row r="10" spans="1:31" ht="27" customHeight="1" x14ac:dyDescent="0.3">
      <c r="B10" s="9" t="s">
        <v>10</v>
      </c>
      <c r="C10" s="10"/>
      <c r="D10" s="14"/>
      <c r="E10" s="1">
        <f>SUM($B$5:$AE$5)</f>
        <v>18</v>
      </c>
      <c r="F10" s="7">
        <f>$E$10/8</f>
        <v>2.25</v>
      </c>
    </row>
    <row r="11" spans="1:31" x14ac:dyDescent="0.3">
      <c r="L11">
        <f>COUNTA(5:5)</f>
        <v>5</v>
      </c>
      <c r="N11">
        <f>(12500*25)/30</f>
        <v>10416.666666666666</v>
      </c>
      <c r="R11">
        <f>10729*12/100</f>
        <v>1287.48</v>
      </c>
    </row>
    <row r="12" spans="1:31" x14ac:dyDescent="0.3">
      <c r="P12" s="5"/>
      <c r="Q12" s="5"/>
    </row>
    <row r="13" spans="1:31" x14ac:dyDescent="0.3">
      <c r="H13" s="6"/>
      <c r="K13" s="18">
        <v>3.2500000000000001E-2</v>
      </c>
      <c r="L13" t="s">
        <v>48</v>
      </c>
    </row>
    <row r="14" spans="1:31" x14ac:dyDescent="0.3">
      <c r="K14" s="5">
        <v>0.12</v>
      </c>
      <c r="L14" t="s">
        <v>49</v>
      </c>
    </row>
  </sheetData>
  <mergeCells count="7">
    <mergeCell ref="N8:P8"/>
    <mergeCell ref="Q8:S8"/>
    <mergeCell ref="B10:D10"/>
    <mergeCell ref="B8:D8"/>
    <mergeCell ref="B9:D9"/>
    <mergeCell ref="H8:J8"/>
    <mergeCell ref="H9:J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Details</vt:lpstr>
      <vt:lpstr>Months Attedent</vt:lpstr>
      <vt:lpstr>Salary Sheet</vt:lpstr>
      <vt:lpstr>Sheet5</vt:lpstr>
      <vt:lpstr>Monthly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2023-06-11T04:44:00Z</dcterms:created>
  <dcterms:modified xsi:type="dcterms:W3CDTF">2023-06-20T04:24:13Z</dcterms:modified>
</cp:coreProperties>
</file>